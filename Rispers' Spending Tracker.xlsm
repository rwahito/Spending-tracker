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Risper\"/>
    </mc:Choice>
  </mc:AlternateContent>
  <bookViews>
    <workbookView xWindow="0" yWindow="0" windowWidth="14380" windowHeight="4640"/>
  </bookViews>
  <sheets>
    <sheet name="Form" sheetId="2" r:id="rId1"/>
    <sheet name="Spendings" sheetId="3" r:id="rId2"/>
    <sheet name="Pivot Tables" sheetId="8" r:id="rId3"/>
  </sheets>
  <calcPr calcId="162913"/>
  <pivotCaches>
    <pivotCache cacheId="4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8" l="1"/>
  <c r="A2" i="8"/>
  <c r="I11" i="2" l="1"/>
  <c r="I13" i="2" l="1"/>
  <c r="I12" i="2"/>
  <c r="I10" i="2"/>
  <c r="I9" i="2"/>
</calcChain>
</file>

<file path=xl/sharedStrings.xml><?xml version="1.0" encoding="utf-8"?>
<sst xmlns="http://schemas.openxmlformats.org/spreadsheetml/2006/main" count="138" uniqueCount="35">
  <si>
    <t>Date</t>
  </si>
  <si>
    <t>Amount</t>
  </si>
  <si>
    <t>Airtel</t>
  </si>
  <si>
    <t>Outside</t>
  </si>
  <si>
    <t>Food</t>
  </si>
  <si>
    <t>Sanitaries</t>
  </si>
  <si>
    <t>Safaricom</t>
  </si>
  <si>
    <t>Hotspot</t>
  </si>
  <si>
    <t>Joan</t>
  </si>
  <si>
    <t>Other</t>
  </si>
  <si>
    <t>Fare</t>
  </si>
  <si>
    <t>Home</t>
  </si>
  <si>
    <t>Hair</t>
  </si>
  <si>
    <t>Specifics</t>
  </si>
  <si>
    <t>Transaction Categories</t>
  </si>
  <si>
    <t>Transaction Category</t>
  </si>
  <si>
    <t>Transaction Mode</t>
  </si>
  <si>
    <t>Mpesa</t>
  </si>
  <si>
    <t>Airtime</t>
  </si>
  <si>
    <t>mm/dd/yyyy</t>
  </si>
  <si>
    <t>Ziidi</t>
  </si>
  <si>
    <t>Savings</t>
  </si>
  <si>
    <t>Bundles</t>
  </si>
  <si>
    <t>Street</t>
  </si>
  <si>
    <t>Self</t>
  </si>
  <si>
    <t>Net</t>
  </si>
  <si>
    <t>Refundable</t>
  </si>
  <si>
    <t>Non-refundable</t>
  </si>
  <si>
    <t>N/A</t>
  </si>
  <si>
    <t>Restaurant</t>
  </si>
  <si>
    <t>Sum of Amount</t>
  </si>
  <si>
    <t>Grand Total</t>
  </si>
  <si>
    <t>Mode of Transaction</t>
  </si>
  <si>
    <t>Spending by Month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</si>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</sst>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d/m/yy;@"/>
    <numFmt numFmtId="166" formatCode="0.0"/>
    <numFmt numFmtId="167" formatCode="yyyy/mm/dd;@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u/>
      <sz val="12"/>
      <color theme="1"/>
      <name val="Times New Roman"/>
      <family val="1"/>
    </font>
    <font>
      <b/>
      <sz val="14"/>
      <color theme="1"/>
      <name val="Times New Roman"/>
      <family val="1"/>
    </font>
    <font>
      <i/>
      <sz val="11"/>
      <color theme="1"/>
      <name val="Calibri"/>
      <family val="2"/>
      <scheme val="minor"/>
    </font>
    <font>
      <b/>
      <sz val="2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DEC8E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Fill="1"/>
    <xf numFmtId="0" fontId="0" fillId="2" borderId="0" xfId="0" applyFill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right" vertical="center"/>
    </xf>
    <xf numFmtId="165" fontId="0" fillId="0" borderId="0" xfId="0" applyNumberFormat="1"/>
    <xf numFmtId="166" fontId="0" fillId="0" borderId="0" xfId="0" applyNumberFormat="1"/>
    <xf numFmtId="14" fontId="0" fillId="2" borderId="0" xfId="0" applyNumberFormat="1" applyFill="1"/>
    <xf numFmtId="167" fontId="0" fillId="0" borderId="0" xfId="0" applyNumberFormat="1"/>
    <xf numFmtId="0" fontId="5" fillId="0" borderId="0" xfId="0" applyFont="1" applyFill="1"/>
    <xf numFmtId="0" fontId="0" fillId="2" borderId="0" xfId="0" applyFill="1" applyAlignment="1">
      <alignment horizontal="right"/>
    </xf>
    <xf numFmtId="0" fontId="0" fillId="3" borderId="0" xfId="0" applyFill="1"/>
    <xf numFmtId="14" fontId="0" fillId="3" borderId="2" xfId="0" applyNumberFormat="1" applyFill="1" applyBorder="1" applyProtection="1">
      <protection locked="0"/>
    </xf>
    <xf numFmtId="0" fontId="0" fillId="0" borderId="0" xfId="0" applyNumberFormat="1"/>
    <xf numFmtId="1" fontId="0" fillId="3" borderId="2" xfId="0" applyNumberFormat="1" applyFill="1" applyBorder="1" applyProtection="1">
      <protection locked="0"/>
    </xf>
    <xf numFmtId="49" fontId="0" fillId="3" borderId="1" xfId="0" applyNumberFormat="1" applyFill="1" applyBorder="1" applyProtection="1">
      <protection locked="0"/>
    </xf>
    <xf numFmtId="49" fontId="0" fillId="3" borderId="2" xfId="0" applyNumberForma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0" applyFont="1" applyFill="1" applyAlignment="1" applyProtection="1">
      <alignment vertical="center"/>
    </xf>
    <xf numFmtId="0" fontId="0" fillId="0" borderId="0" xfId="0" applyProtection="1"/>
    <xf numFmtId="49" fontId="4" fillId="4" borderId="3" xfId="0" applyNumberFormat="1" applyFont="1" applyFill="1" applyBorder="1" applyProtection="1"/>
    <xf numFmtId="49" fontId="4" fillId="4" borderId="4" xfId="0" applyNumberFormat="1" applyFont="1" applyFill="1" applyBorder="1" applyProtection="1"/>
    <xf numFmtId="1" fontId="4" fillId="4" borderId="4" xfId="0" applyNumberFormat="1" applyFont="1" applyFill="1" applyBorder="1" applyProtection="1"/>
    <xf numFmtId="165" fontId="4" fillId="4" borderId="5" xfId="0" applyNumberFormat="1" applyFont="1" applyFill="1" applyBorder="1" applyProtection="1"/>
    <xf numFmtId="164" fontId="0" fillId="0" borderId="0" xfId="0" applyNumberFormat="1" applyProtection="1"/>
    <xf numFmtId="49" fontId="0" fillId="0" borderId="0" xfId="0" applyNumberFormat="1" applyProtection="1"/>
    <xf numFmtId="1" fontId="0" fillId="0" borderId="0" xfId="0" applyNumberFormat="1" applyProtection="1"/>
    <xf numFmtId="165" fontId="0" fillId="0" borderId="0" xfId="0" applyNumberFormat="1" applyProtection="1"/>
    <xf numFmtId="0" fontId="1" fillId="0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8" fillId="2" borderId="0" xfId="0" applyNumberFormat="1" applyFont="1" applyFill="1" applyAlignment="1" applyProtection="1">
      <alignment horizontal="left" vertical="center"/>
    </xf>
  </cellXfs>
  <cellStyles count="1">
    <cellStyle name="Normal" xfId="0" builtinId="0"/>
  </cellStyles>
  <dxfs count="1">
    <dxf>
      <fill>
        <patternFill>
          <bgColor rgb="FFC39BE1"/>
        </patternFill>
      </fill>
    </dxf>
  </dxfs>
  <tableStyles count="1" defaultTableStyle="TableStyleMedium2" defaultPivotStyle="PivotStyleLight16">
    <tableStyle name="Table Style 1" pivot="0" count="1">
      <tableStyleElement type="wholeTable" dxfId="0"/>
    </tableStyle>
  </tableStyles>
  <colors>
    <mruColors>
      <color rgb="FFDEC8EE"/>
      <color rgb="FFC39BE1"/>
      <color rgb="FFA469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571501</xdr:colOff>
      <xdr:row>4</xdr:row>
      <xdr:rowOff>0</xdr:rowOff>
    </xdr:from>
    <xdr:to>
      <xdr:col>4</xdr:col>
      <xdr:colOff>63501</xdr:colOff>
      <xdr:row>24</xdr:row>
      <xdr:rowOff>32456</xdr:rowOff>
    </xdr:to>
    <xdr:grpSp>
      <xdr:nvGrpSpPr>
        <xdr:cNvPr id="8" name="Group 7"/>
        <xdr:cNvGrpSpPr/>
      </xdr:nvGrpSpPr>
      <xdr:grpSpPr>
        <a:xfrm>
          <a:off x="571501" y="762000"/>
          <a:ext cx="3817056" cy="3920067"/>
          <a:chOff x="571501" y="1293813"/>
          <a:chExt cx="3825875" cy="3929768"/>
        </a:xfrm>
      </xdr:grpSpPr>
      <xdr:sp macro="" textlink="">
        <xdr:nvSpPr>
          <xdr:cNvPr id="3" name="Round Same Side Corner Rectangle 2"/>
          <xdr:cNvSpPr/>
        </xdr:nvSpPr>
        <xdr:spPr>
          <a:xfrm>
            <a:off x="641525" y="1363265"/>
            <a:ext cx="3697154" cy="409789"/>
          </a:xfrm>
          <a:prstGeom prst="round2SameRect">
            <a:avLst/>
          </a:prstGeom>
          <a:solidFill>
            <a:srgbClr val="DEC8EE"/>
          </a:solidFill>
          <a:ln>
            <a:solidFill>
              <a:srgbClr val="DEC8E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Entry</a:t>
            </a:r>
            <a:r>
              <a:rPr lang="en-US" sz="1400" b="1" i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Form</a:t>
            </a:r>
          </a:p>
          <a:p>
            <a:pPr algn="ctr"/>
            <a:endParaRPr lang="en-US" sz="14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" name="Rounded Rectangle 1"/>
          <xdr:cNvSpPr/>
        </xdr:nvSpPr>
        <xdr:spPr>
          <a:xfrm>
            <a:off x="571501" y="1293813"/>
            <a:ext cx="3825875" cy="3929768"/>
          </a:xfrm>
          <a:prstGeom prst="roundRect">
            <a:avLst>
              <a:gd name="adj" fmla="val 4701"/>
            </a:avLst>
          </a:prstGeom>
          <a:noFill/>
          <a:ln>
            <a:solidFill>
              <a:srgbClr val="A469D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16900</xdr:colOff>
      <xdr:row>21</xdr:row>
      <xdr:rowOff>76422</xdr:rowOff>
    </xdr:from>
    <xdr:to>
      <xdr:col>4</xdr:col>
      <xdr:colOff>11869</xdr:colOff>
      <xdr:row>23</xdr:row>
      <xdr:rowOff>101404</xdr:rowOff>
    </xdr:to>
    <xdr:grpSp>
      <xdr:nvGrpSpPr>
        <xdr:cNvPr id="7" name="Group 6"/>
        <xdr:cNvGrpSpPr/>
      </xdr:nvGrpSpPr>
      <xdr:grpSpPr>
        <a:xfrm>
          <a:off x="623678" y="4168644"/>
          <a:ext cx="3713247" cy="398927"/>
          <a:chOff x="628088" y="4711922"/>
          <a:chExt cx="3717656" cy="398045"/>
        </a:xfrm>
      </xdr:grpSpPr>
      <xdr:sp macro="[0]!Collect_data" textlink="">
        <xdr:nvSpPr>
          <xdr:cNvPr id="4" name="Round Same Side Corner Rectangle 3"/>
          <xdr:cNvSpPr/>
        </xdr:nvSpPr>
        <xdr:spPr>
          <a:xfrm rot="10800000">
            <a:off x="628088" y="4711922"/>
            <a:ext cx="3717656" cy="398045"/>
          </a:xfrm>
          <a:prstGeom prst="round2SameRect">
            <a:avLst/>
          </a:prstGeom>
          <a:solidFill>
            <a:srgbClr val="DEC8EE"/>
          </a:solidFill>
          <a:ln>
            <a:solidFill>
              <a:srgbClr val="DEC8E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t"/>
          <a:lstStyle/>
          <a:p>
            <a:pPr algn="ctr"/>
            <a:endParaRPr lang="en-US" sz="1400" b="0" i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Collect_data" textlink="">
        <xdr:nvSpPr>
          <xdr:cNvPr id="6" name="TextBox 5"/>
          <xdr:cNvSpPr txBox="1"/>
        </xdr:nvSpPr>
        <xdr:spPr>
          <a:xfrm>
            <a:off x="1381124" y="4746625"/>
            <a:ext cx="2555875" cy="317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latin typeface="Times New Roman" panose="02020603050405020304" pitchFamily="18" charset="0"/>
                <a:cs typeface="Times New Roman" panose="02020603050405020304" pitchFamily="18" charset="0"/>
              </a:rPr>
              <a:t>Submit Entry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6218.539906481485" createdVersion="6" refreshedVersion="6" minRefreshableVersion="3" recordCount="32">
  <cacheSource type="worksheet">
    <worksheetSource ref="B3:F35" sheet="Spendings"/>
  </cacheSource>
  <cacheFields count="5">
    <cacheField name="Transaction Category" numFmtId="49">
      <sharedItems count="11">
        <s v="Airtel"/>
        <s v="Safaricom"/>
        <s v="Home"/>
        <s v="Net"/>
        <s v="Self"/>
        <s v="Food"/>
        <s v="Joan"/>
        <s v="Other"/>
        <s v="Fare"/>
        <s v="Ziidi"/>
        <s v="Outside"/>
      </sharedItems>
    </cacheField>
    <cacheField name="Transaction Mode" numFmtId="49">
      <sharedItems count="2">
        <s v="Mpesa"/>
        <s v="Cash" u="1"/>
      </sharedItems>
    </cacheField>
    <cacheField name="Specifics" numFmtId="49">
      <sharedItems/>
    </cacheField>
    <cacheField name="Amount" numFmtId="1">
      <sharedItems containsSemiMixedTypes="0" containsString="0" containsNumber="1" containsInteger="1" minValue="10" maxValue="2310"/>
    </cacheField>
    <cacheField name="Date" numFmtId="165">
      <sharedItems containsSemiMixedTypes="0" containsNonDate="0" containsDate="1" containsString="0" minDate="2026-07-02T00:00:00" maxDate="2026-07-16T00:00:00" count="11">
        <d v="2026-07-15T00:00:00"/>
        <d v="2026-07-12T00:00:00"/>
        <d v="2026-07-13T00:00:00"/>
        <d v="2026-07-11T00:00:00"/>
        <d v="2026-07-10T00:00:00"/>
        <d v="2026-07-08T00:00:00"/>
        <d v="2026-07-02T00:00:00"/>
        <d v="2026-07-07T00:00:00"/>
        <d v="2026-07-06T00:00:00"/>
        <d v="2026-07-04T00:00:00"/>
        <d v="2026-07-03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s v="Bundles"/>
    <n v="53"/>
    <x v="0"/>
  </r>
  <r>
    <x v="1"/>
    <x v="0"/>
    <s v="Airtime"/>
    <n v="50"/>
    <x v="0"/>
  </r>
  <r>
    <x v="2"/>
    <x v="0"/>
    <s v="Refundable"/>
    <n v="290"/>
    <x v="1"/>
  </r>
  <r>
    <x v="2"/>
    <x v="0"/>
    <s v="Refundable"/>
    <n v="60"/>
    <x v="2"/>
  </r>
  <r>
    <x v="1"/>
    <x v="0"/>
    <s v="Airtime"/>
    <n v="30"/>
    <x v="3"/>
  </r>
  <r>
    <x v="3"/>
    <x v="0"/>
    <s v="Hotspot"/>
    <n v="30"/>
    <x v="1"/>
  </r>
  <r>
    <x v="3"/>
    <x v="0"/>
    <s v="Hotspot"/>
    <n v="20"/>
    <x v="3"/>
  </r>
  <r>
    <x v="4"/>
    <x v="0"/>
    <s v="Hair"/>
    <n v="2310"/>
    <x v="1"/>
  </r>
  <r>
    <x v="5"/>
    <x v="0"/>
    <s v="Street"/>
    <n v="70"/>
    <x v="3"/>
  </r>
  <r>
    <x v="2"/>
    <x v="0"/>
    <s v="Refundable"/>
    <n v="20"/>
    <x v="3"/>
  </r>
  <r>
    <x v="6"/>
    <x v="0"/>
    <s v="Refundable"/>
    <n v="50"/>
    <x v="3"/>
  </r>
  <r>
    <x v="5"/>
    <x v="0"/>
    <s v="Street"/>
    <n v="30"/>
    <x v="4"/>
  </r>
  <r>
    <x v="5"/>
    <x v="0"/>
    <s v="Other"/>
    <n v="60"/>
    <x v="4"/>
  </r>
  <r>
    <x v="0"/>
    <x v="0"/>
    <s v="Airtime"/>
    <n v="23"/>
    <x v="5"/>
  </r>
  <r>
    <x v="0"/>
    <x v="0"/>
    <s v="Bundles"/>
    <n v="53"/>
    <x v="5"/>
  </r>
  <r>
    <x v="5"/>
    <x v="0"/>
    <s v="Restaurant"/>
    <n v="160"/>
    <x v="5"/>
  </r>
  <r>
    <x v="7"/>
    <x v="0"/>
    <s v="Non-refundable"/>
    <n v="50"/>
    <x v="5"/>
  </r>
  <r>
    <x v="8"/>
    <x v="0"/>
    <s v="N/A"/>
    <n v="90"/>
    <x v="5"/>
  </r>
  <r>
    <x v="5"/>
    <x v="0"/>
    <s v="Street"/>
    <n v="60"/>
    <x v="5"/>
  </r>
  <r>
    <x v="7"/>
    <x v="0"/>
    <s v="Other"/>
    <n v="10"/>
    <x v="5"/>
  </r>
  <r>
    <x v="9"/>
    <x v="0"/>
    <s v="Savings"/>
    <n v="1600"/>
    <x v="6"/>
  </r>
  <r>
    <x v="5"/>
    <x v="0"/>
    <s v="Street"/>
    <n v="100"/>
    <x v="5"/>
  </r>
  <r>
    <x v="6"/>
    <x v="0"/>
    <s v="Non-refundable"/>
    <n v="100"/>
    <x v="7"/>
  </r>
  <r>
    <x v="3"/>
    <x v="0"/>
    <s v="Hotspot"/>
    <n v="30"/>
    <x v="7"/>
  </r>
  <r>
    <x v="0"/>
    <x v="0"/>
    <s v="Airtime"/>
    <n v="23"/>
    <x v="8"/>
  </r>
  <r>
    <x v="5"/>
    <x v="0"/>
    <s v="Street"/>
    <n v="50"/>
    <x v="8"/>
  </r>
  <r>
    <x v="1"/>
    <x v="0"/>
    <s v="Airtime"/>
    <n v="20"/>
    <x v="8"/>
  </r>
  <r>
    <x v="4"/>
    <x v="0"/>
    <s v="Sanitaries"/>
    <n v="150"/>
    <x v="8"/>
  </r>
  <r>
    <x v="5"/>
    <x v="0"/>
    <s v="Street"/>
    <n v="40"/>
    <x v="9"/>
  </r>
  <r>
    <x v="10"/>
    <x v="0"/>
    <s v="Other"/>
    <n v="1500"/>
    <x v="9"/>
  </r>
  <r>
    <x v="0"/>
    <x v="0"/>
    <s v="Bundles"/>
    <n v="35"/>
    <x v="10"/>
  </r>
  <r>
    <x v="9"/>
    <x v="0"/>
    <s v="Savings"/>
    <n v="180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rowHeaderCaption="Transaction Mode">
  <location ref="E3:F5" firstHeaderRow="1" firstDataRow="1" firstDataCol="1"/>
  <pivotFields count="5">
    <pivotField showAll="0"/>
    <pivotField axis="axisRow" showAll="0">
      <items count="3">
        <item m="1" x="1"/>
        <item x="0"/>
        <item t="default"/>
      </items>
    </pivotField>
    <pivotField showAll="0"/>
    <pivotField dataField="1" numFmtId="1" showAll="0"/>
    <pivotField numFmtId="165" showAll="0"/>
  </pivotFields>
  <rowFields count="1">
    <field x="1"/>
  </rowFields>
  <rowItems count="2">
    <i>
      <x v="1"/>
    </i>
    <i t="grand">
      <x/>
    </i>
  </rowItems>
  <colItems count="1">
    <i/>
  </colItems>
  <dataFields count="1">
    <dataField name="Sum of Amount" fld="3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ransaction Categories">
  <location ref="A3:B15" firstHeaderRow="1" firstDataRow="1" firstDataCol="1"/>
  <pivotFields count="5">
    <pivotField axis="axisRow" showAll="0">
      <items count="12">
        <item x="0"/>
        <item x="8"/>
        <item x="5"/>
        <item x="2"/>
        <item x="6"/>
        <item x="3"/>
        <item x="7"/>
        <item x="10"/>
        <item x="1"/>
        <item x="4"/>
        <item x="9"/>
        <item t="default"/>
      </items>
    </pivotField>
    <pivotField showAll="0"/>
    <pivotField showAll="0"/>
    <pivotField dataField="1" numFmtId="1" showAll="0"/>
    <pivotField numFmtId="165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Amount" fld="3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ransaction Categories">
  <location ref="I3:J15" firstHeaderRow="1" firstDataRow="1" firstDataCol="1"/>
  <pivotFields count="5">
    <pivotField showAll="0"/>
    <pivotField showAll="0"/>
    <pivotField showAll="0"/>
    <pivotField dataField="1" numFmtId="1" showAll="0"/>
    <pivotField axis="axisRow" numFmtId="165" showAll="0" sortType="ascending">
      <items count="12">
        <item x="6"/>
        <item x="10"/>
        <item x="9"/>
        <item x="8"/>
        <item x="7"/>
        <item x="5"/>
        <item x="4"/>
        <item x="3"/>
        <item x="1"/>
        <item x="2"/>
        <item x="0"/>
        <item t="default"/>
      </items>
    </pivotField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Amount" fld="3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23"/>
  <sheetViews>
    <sheetView showGridLines="0" tabSelected="1" topLeftCell="A2" zoomScale="90" zoomScaleNormal="90" workbookViewId="0">
      <selection activeCell="F9" sqref="F9"/>
    </sheetView>
  </sheetViews>
  <sheetFormatPr defaultRowHeight="14.5" x14ac:dyDescent="0.35"/>
  <cols>
    <col min="2" max="2" width="21.08984375" customWidth="1"/>
    <col min="3" max="3" width="27.36328125" customWidth="1"/>
    <col min="4" max="4" width="4.7265625" customWidth="1"/>
    <col min="8" max="8" width="20.1796875" customWidth="1"/>
    <col min="9" max="9" width="13.26953125" customWidth="1"/>
  </cols>
  <sheetData>
    <row r="1" spans="2:9" s="1" customFormat="1" x14ac:dyDescent="0.35"/>
    <row r="2" spans="2:9" s="1" customFormat="1" ht="15.5" x14ac:dyDescent="0.35">
      <c r="B2" s="9" t="s">
        <v>0</v>
      </c>
      <c r="C2" s="9" t="s">
        <v>19</v>
      </c>
    </row>
    <row r="3" spans="2:9" s="1" customFormat="1" ht="15.5" x14ac:dyDescent="0.35">
      <c r="B3" s="9"/>
      <c r="C3" s="9"/>
    </row>
    <row r="4" spans="2:9" s="1" customFormat="1" x14ac:dyDescent="0.35">
      <c r="H4"/>
      <c r="I4"/>
    </row>
    <row r="5" spans="2:9" s="1" customFormat="1" x14ac:dyDescent="0.35">
      <c r="H5"/>
      <c r="I5"/>
    </row>
    <row r="6" spans="2:9" s="1" customFormat="1" x14ac:dyDescent="0.35">
      <c r="H6"/>
      <c r="I6"/>
    </row>
    <row r="7" spans="2:9" s="1" customFormat="1" x14ac:dyDescent="0.35">
      <c r="H7"/>
      <c r="I7"/>
    </row>
    <row r="8" spans="2:9" s="1" customFormat="1" x14ac:dyDescent="0.35">
      <c r="B8" s="2"/>
      <c r="C8" s="2"/>
      <c r="D8" s="2"/>
      <c r="H8"/>
      <c r="I8"/>
    </row>
    <row r="9" spans="2:9" ht="16" thickBot="1" x14ac:dyDescent="0.4">
      <c r="B9" s="3" t="s">
        <v>14</v>
      </c>
      <c r="C9" s="15"/>
      <c r="D9" s="2"/>
      <c r="H9" t="s">
        <v>15</v>
      </c>
      <c r="I9">
        <f>C9</f>
        <v>0</v>
      </c>
    </row>
    <row r="10" spans="2:9" ht="15" thickTop="1" x14ac:dyDescent="0.35">
      <c r="B10" s="2"/>
      <c r="C10" s="2"/>
      <c r="D10" s="2"/>
      <c r="H10" t="s">
        <v>16</v>
      </c>
      <c r="I10">
        <f>C12</f>
        <v>0</v>
      </c>
    </row>
    <row r="11" spans="2:9" x14ac:dyDescent="0.35">
      <c r="B11" s="2"/>
      <c r="C11" s="2"/>
      <c r="D11" s="2"/>
      <c r="H11" t="s">
        <v>13</v>
      </c>
      <c r="I11" t="str">
        <f>IF(C15="","N/A",C15)</f>
        <v>N/A</v>
      </c>
    </row>
    <row r="12" spans="2:9" ht="16" thickBot="1" x14ac:dyDescent="0.4">
      <c r="B12" s="4" t="s">
        <v>16</v>
      </c>
      <c r="C12" s="15"/>
      <c r="D12" s="2"/>
      <c r="H12" t="s">
        <v>1</v>
      </c>
      <c r="I12" s="6">
        <f>C18</f>
        <v>0</v>
      </c>
    </row>
    <row r="13" spans="2:9" ht="15" thickTop="1" x14ac:dyDescent="0.35">
      <c r="B13" s="2"/>
      <c r="C13" s="2"/>
      <c r="D13" s="2"/>
      <c r="H13" t="s">
        <v>0</v>
      </c>
      <c r="I13" s="8">
        <f>C21</f>
        <v>0</v>
      </c>
    </row>
    <row r="14" spans="2:9" x14ac:dyDescent="0.35">
      <c r="B14" s="2"/>
      <c r="C14" s="2"/>
      <c r="D14" s="2"/>
    </row>
    <row r="15" spans="2:9" ht="22.5" customHeight="1" thickBot="1" x14ac:dyDescent="0.4">
      <c r="B15" s="4" t="s">
        <v>13</v>
      </c>
      <c r="C15" s="16"/>
      <c r="D15" s="2"/>
    </row>
    <row r="16" spans="2:9" ht="15" thickTop="1" x14ac:dyDescent="0.35">
      <c r="B16" s="2"/>
      <c r="C16" s="2"/>
      <c r="D16" s="2"/>
    </row>
    <row r="17" spans="2:13" x14ac:dyDescent="0.35">
      <c r="B17" s="2"/>
      <c r="C17" s="2"/>
      <c r="D17" s="2"/>
    </row>
    <row r="18" spans="2:13" ht="16" thickBot="1" x14ac:dyDescent="0.4">
      <c r="B18" s="3" t="s">
        <v>1</v>
      </c>
      <c r="C18" s="14"/>
      <c r="D18" s="2"/>
      <c r="I18" s="5"/>
      <c r="J18" s="5"/>
      <c r="K18" s="5"/>
      <c r="L18" s="6"/>
      <c r="M18" s="5"/>
    </row>
    <row r="19" spans="2:13" ht="15" thickTop="1" x14ac:dyDescent="0.35">
      <c r="B19" s="2"/>
      <c r="C19" s="7"/>
      <c r="D19" s="2"/>
      <c r="I19" s="5"/>
      <c r="J19" s="5"/>
      <c r="K19" s="5"/>
      <c r="L19" s="6"/>
      <c r="M19" s="5"/>
    </row>
    <row r="20" spans="2:13" x14ac:dyDescent="0.35">
      <c r="B20" s="2"/>
      <c r="C20" s="7"/>
      <c r="D20" s="2"/>
      <c r="I20" s="5"/>
      <c r="J20" s="5"/>
      <c r="K20" s="5"/>
      <c r="L20" s="6"/>
      <c r="M20" s="5"/>
    </row>
    <row r="21" spans="2:13" ht="15.5" customHeight="1" thickBot="1" x14ac:dyDescent="0.4">
      <c r="B21" s="10" t="s">
        <v>0</v>
      </c>
      <c r="C21" s="12"/>
      <c r="D21" s="2"/>
      <c r="I21" s="5"/>
      <c r="J21" s="5"/>
      <c r="K21" s="5"/>
      <c r="L21" s="6"/>
      <c r="M21" s="5"/>
    </row>
    <row r="22" spans="2:13" ht="15" thickTop="1" x14ac:dyDescent="0.35">
      <c r="D22" s="11"/>
      <c r="I22" s="5"/>
      <c r="J22" s="5"/>
      <c r="K22" s="5"/>
      <c r="L22" s="6"/>
      <c r="M22" s="5"/>
    </row>
    <row r="23" spans="2:13" x14ac:dyDescent="0.35">
      <c r="B23" s="30"/>
      <c r="C23" s="30"/>
      <c r="D23" s="1"/>
    </row>
  </sheetData>
  <sheetProtection password="D204" sheet="1" objects="1" scenarios="1"/>
  <mergeCells count="1">
    <mergeCell ref="B23:C23"/>
  </mergeCells>
  <dataValidations count="3">
    <dataValidation type="list" allowBlank="1" showErrorMessage="1" errorTitle="Input Error" error="Choose from the dropdwon menu" promptTitle="Transaction " prompt="Choose the category." sqref="C9">
      <formula1>"Ziidi, Safaricom, Airtel, Fare, Food, Joan,Self, Home, Net, Outside, Other"</formula1>
    </dataValidation>
    <dataValidation type="list" errorStyle="warning" allowBlank="1" showErrorMessage="1" errorTitle="Input Error " error="Enter correct mode of payment from the drop down " promptTitle="Payment" prompt="Choose the correct mode of payment" sqref="C12">
      <formula1>"Cash, Mpesa, Airtel Money"</formula1>
    </dataValidation>
    <dataValidation type="list" allowBlank="1" showErrorMessage="1" sqref="C15">
      <formula1>"Savings, Airtime, Bundles, Hotspot, Street, Restaurant,Sanitaries, Hair, Non-refundable, Refundable, Other"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84"/>
  <sheetViews>
    <sheetView workbookViewId="0">
      <selection activeCell="A3" sqref="A3"/>
    </sheetView>
  </sheetViews>
  <sheetFormatPr defaultRowHeight="14.5" x14ac:dyDescent="0.35"/>
  <cols>
    <col min="1" max="1" width="8.7265625" style="21"/>
    <col min="2" max="2" width="23.1796875" style="27" customWidth="1"/>
    <col min="3" max="4" width="20.90625" style="27" customWidth="1"/>
    <col min="5" max="5" width="20.90625" style="28" customWidth="1"/>
    <col min="6" max="6" width="17" style="29" customWidth="1"/>
    <col min="7" max="7" width="10.453125" style="26" bestFit="1" customWidth="1"/>
    <col min="8" max="16384" width="8.7265625" style="21"/>
  </cols>
  <sheetData>
    <row r="1" spans="1:11" ht="57" customHeight="1" x14ac:dyDescent="0.35">
      <c r="A1" s="34" t="s">
        <v>34</v>
      </c>
      <c r="B1" s="34"/>
      <c r="C1" s="34"/>
      <c r="D1" s="34"/>
      <c r="E1" s="34"/>
      <c r="F1" s="34"/>
      <c r="G1" s="20"/>
      <c r="H1" s="20"/>
      <c r="I1" s="20"/>
      <c r="J1" s="20"/>
      <c r="K1" s="20"/>
    </row>
    <row r="3" spans="1:11" ht="15.5" x14ac:dyDescent="0.35">
      <c r="B3" s="22" t="s">
        <v>15</v>
      </c>
      <c r="C3" s="23" t="s">
        <v>16</v>
      </c>
      <c r="D3" s="23" t="s">
        <v>13</v>
      </c>
      <c r="E3" s="24" t="s">
        <v>1</v>
      </c>
      <c r="F3" s="25" t="s">
        <v>0</v>
      </c>
    </row>
    <row r="4" spans="1:11" x14ac:dyDescent="0.35">
      <c r="B4" s="27" t="s">
        <v>2</v>
      </c>
      <c r="C4" s="27" t="s">
        <v>17</v>
      </c>
      <c r="D4" s="27" t="s">
        <v>22</v>
      </c>
      <c r="E4" s="28">
        <v>53</v>
      </c>
      <c r="F4" s="29">
        <v>46218</v>
      </c>
    </row>
    <row r="5" spans="1:11" x14ac:dyDescent="0.35">
      <c r="B5" s="27" t="s">
        <v>6</v>
      </c>
      <c r="C5" s="27" t="s">
        <v>17</v>
      </c>
      <c r="D5" s="27" t="s">
        <v>18</v>
      </c>
      <c r="E5" s="28">
        <v>50</v>
      </c>
      <c r="F5" s="29">
        <v>46218</v>
      </c>
    </row>
    <row r="6" spans="1:11" x14ac:dyDescent="0.35">
      <c r="B6" s="27" t="s">
        <v>11</v>
      </c>
      <c r="C6" s="27" t="s">
        <v>17</v>
      </c>
      <c r="D6" s="27" t="s">
        <v>26</v>
      </c>
      <c r="E6" s="28">
        <v>290</v>
      </c>
      <c r="F6" s="29">
        <v>46215</v>
      </c>
    </row>
    <row r="7" spans="1:11" x14ac:dyDescent="0.35">
      <c r="B7" s="27" t="s">
        <v>11</v>
      </c>
      <c r="C7" s="27" t="s">
        <v>17</v>
      </c>
      <c r="D7" s="27" t="s">
        <v>26</v>
      </c>
      <c r="E7" s="28">
        <v>60</v>
      </c>
      <c r="F7" s="29">
        <v>46216</v>
      </c>
    </row>
    <row r="8" spans="1:11" x14ac:dyDescent="0.35">
      <c r="B8" s="27" t="s">
        <v>6</v>
      </c>
      <c r="C8" s="27" t="s">
        <v>17</v>
      </c>
      <c r="D8" s="27" t="s">
        <v>18</v>
      </c>
      <c r="E8" s="28">
        <v>30</v>
      </c>
      <c r="F8" s="29">
        <v>46214</v>
      </c>
    </row>
    <row r="9" spans="1:11" x14ac:dyDescent="0.35">
      <c r="B9" s="27" t="s">
        <v>25</v>
      </c>
      <c r="C9" s="27" t="s">
        <v>17</v>
      </c>
      <c r="D9" s="27" t="s">
        <v>7</v>
      </c>
      <c r="E9" s="28">
        <v>30</v>
      </c>
      <c r="F9" s="29">
        <v>46215</v>
      </c>
    </row>
    <row r="10" spans="1:11" x14ac:dyDescent="0.35">
      <c r="B10" s="27" t="s">
        <v>25</v>
      </c>
      <c r="C10" s="27" t="s">
        <v>17</v>
      </c>
      <c r="D10" s="27" t="s">
        <v>7</v>
      </c>
      <c r="E10" s="28">
        <v>20</v>
      </c>
      <c r="F10" s="29">
        <v>46214</v>
      </c>
    </row>
    <row r="11" spans="1:11" x14ac:dyDescent="0.35">
      <c r="B11" s="27" t="s">
        <v>24</v>
      </c>
      <c r="C11" s="27" t="s">
        <v>17</v>
      </c>
      <c r="D11" s="27" t="s">
        <v>12</v>
      </c>
      <c r="E11" s="28">
        <v>2310</v>
      </c>
      <c r="F11" s="29">
        <v>46215</v>
      </c>
    </row>
    <row r="12" spans="1:11" x14ac:dyDescent="0.35">
      <c r="B12" s="27" t="s">
        <v>4</v>
      </c>
      <c r="C12" s="27" t="s">
        <v>17</v>
      </c>
      <c r="D12" s="27" t="s">
        <v>23</v>
      </c>
      <c r="E12" s="28">
        <v>70</v>
      </c>
      <c r="F12" s="29">
        <v>46214</v>
      </c>
    </row>
    <row r="13" spans="1:11" x14ac:dyDescent="0.35">
      <c r="B13" s="27" t="s">
        <v>11</v>
      </c>
      <c r="C13" s="27" t="s">
        <v>17</v>
      </c>
      <c r="D13" s="27" t="s">
        <v>26</v>
      </c>
      <c r="E13" s="28">
        <v>20</v>
      </c>
      <c r="F13" s="29">
        <v>46214</v>
      </c>
    </row>
    <row r="14" spans="1:11" x14ac:dyDescent="0.35">
      <c r="B14" s="27" t="s">
        <v>8</v>
      </c>
      <c r="C14" s="27" t="s">
        <v>17</v>
      </c>
      <c r="D14" s="27" t="s">
        <v>26</v>
      </c>
      <c r="E14" s="28">
        <v>50</v>
      </c>
      <c r="F14" s="29">
        <v>46214</v>
      </c>
    </row>
    <row r="15" spans="1:11" x14ac:dyDescent="0.35">
      <c r="B15" s="27" t="s">
        <v>4</v>
      </c>
      <c r="C15" s="27" t="s">
        <v>17</v>
      </c>
      <c r="D15" s="27" t="s">
        <v>23</v>
      </c>
      <c r="E15" s="28">
        <v>30</v>
      </c>
      <c r="F15" s="29">
        <v>46213</v>
      </c>
    </row>
    <row r="16" spans="1:11" x14ac:dyDescent="0.35">
      <c r="B16" s="27" t="s">
        <v>4</v>
      </c>
      <c r="C16" s="27" t="s">
        <v>17</v>
      </c>
      <c r="D16" s="27" t="s">
        <v>9</v>
      </c>
      <c r="E16" s="28">
        <v>60</v>
      </c>
      <c r="F16" s="29">
        <v>46213</v>
      </c>
    </row>
    <row r="17" spans="2:6" x14ac:dyDescent="0.35">
      <c r="B17" s="27" t="s">
        <v>2</v>
      </c>
      <c r="C17" s="27" t="s">
        <v>17</v>
      </c>
      <c r="D17" s="27" t="s">
        <v>18</v>
      </c>
      <c r="E17" s="28">
        <v>23</v>
      </c>
      <c r="F17" s="29">
        <v>46211</v>
      </c>
    </row>
    <row r="18" spans="2:6" x14ac:dyDescent="0.35">
      <c r="B18" s="27" t="s">
        <v>2</v>
      </c>
      <c r="C18" s="27" t="s">
        <v>17</v>
      </c>
      <c r="D18" s="27" t="s">
        <v>22</v>
      </c>
      <c r="E18" s="28">
        <v>53</v>
      </c>
      <c r="F18" s="29">
        <v>46211</v>
      </c>
    </row>
    <row r="19" spans="2:6" x14ac:dyDescent="0.35">
      <c r="B19" s="27" t="s">
        <v>4</v>
      </c>
      <c r="C19" s="27" t="s">
        <v>17</v>
      </c>
      <c r="D19" s="27" t="s">
        <v>29</v>
      </c>
      <c r="E19" s="28">
        <v>160</v>
      </c>
      <c r="F19" s="29">
        <v>46211</v>
      </c>
    </row>
    <row r="20" spans="2:6" x14ac:dyDescent="0.35">
      <c r="B20" s="27" t="s">
        <v>9</v>
      </c>
      <c r="C20" s="27" t="s">
        <v>17</v>
      </c>
      <c r="D20" s="27" t="s">
        <v>27</v>
      </c>
      <c r="E20" s="28">
        <v>50</v>
      </c>
      <c r="F20" s="29">
        <v>46211</v>
      </c>
    </row>
    <row r="21" spans="2:6" x14ac:dyDescent="0.35">
      <c r="B21" s="27" t="s">
        <v>10</v>
      </c>
      <c r="C21" s="27" t="s">
        <v>17</v>
      </c>
      <c r="D21" s="27" t="s">
        <v>28</v>
      </c>
      <c r="E21" s="28">
        <v>90</v>
      </c>
      <c r="F21" s="29">
        <v>46211</v>
      </c>
    </row>
    <row r="22" spans="2:6" x14ac:dyDescent="0.35">
      <c r="B22" s="27" t="s">
        <v>4</v>
      </c>
      <c r="C22" s="27" t="s">
        <v>17</v>
      </c>
      <c r="D22" s="27" t="s">
        <v>23</v>
      </c>
      <c r="E22" s="28">
        <v>60</v>
      </c>
      <c r="F22" s="29">
        <v>46211</v>
      </c>
    </row>
    <row r="23" spans="2:6" x14ac:dyDescent="0.35">
      <c r="B23" s="27" t="s">
        <v>9</v>
      </c>
      <c r="C23" s="27" t="s">
        <v>17</v>
      </c>
      <c r="D23" s="27" t="s">
        <v>9</v>
      </c>
      <c r="E23" s="28">
        <v>10</v>
      </c>
      <c r="F23" s="29">
        <v>46211</v>
      </c>
    </row>
    <row r="24" spans="2:6" x14ac:dyDescent="0.35">
      <c r="B24" s="27" t="s">
        <v>20</v>
      </c>
      <c r="C24" s="27" t="s">
        <v>17</v>
      </c>
      <c r="D24" s="27" t="s">
        <v>21</v>
      </c>
      <c r="E24" s="28">
        <v>1600</v>
      </c>
      <c r="F24" s="29">
        <v>46205</v>
      </c>
    </row>
    <row r="25" spans="2:6" x14ac:dyDescent="0.35">
      <c r="B25" s="27" t="s">
        <v>4</v>
      </c>
      <c r="C25" s="27" t="s">
        <v>17</v>
      </c>
      <c r="D25" s="27" t="s">
        <v>23</v>
      </c>
      <c r="E25" s="28">
        <v>100</v>
      </c>
      <c r="F25" s="29">
        <v>46211</v>
      </c>
    </row>
    <row r="26" spans="2:6" x14ac:dyDescent="0.35">
      <c r="B26" s="27" t="s">
        <v>8</v>
      </c>
      <c r="C26" s="27" t="s">
        <v>17</v>
      </c>
      <c r="D26" s="27" t="s">
        <v>27</v>
      </c>
      <c r="E26" s="28">
        <v>100</v>
      </c>
      <c r="F26" s="29">
        <v>46210</v>
      </c>
    </row>
    <row r="27" spans="2:6" x14ac:dyDescent="0.35">
      <c r="B27" s="27" t="s">
        <v>25</v>
      </c>
      <c r="C27" s="27" t="s">
        <v>17</v>
      </c>
      <c r="D27" s="27" t="s">
        <v>7</v>
      </c>
      <c r="E27" s="28">
        <v>30</v>
      </c>
      <c r="F27" s="29">
        <v>46210</v>
      </c>
    </row>
    <row r="28" spans="2:6" x14ac:dyDescent="0.35">
      <c r="B28" s="27" t="s">
        <v>2</v>
      </c>
      <c r="C28" s="27" t="s">
        <v>17</v>
      </c>
      <c r="D28" s="27" t="s">
        <v>18</v>
      </c>
      <c r="E28" s="28">
        <v>23</v>
      </c>
      <c r="F28" s="29">
        <v>46209</v>
      </c>
    </row>
    <row r="29" spans="2:6" x14ac:dyDescent="0.35">
      <c r="B29" s="27" t="s">
        <v>4</v>
      </c>
      <c r="C29" s="27" t="s">
        <v>17</v>
      </c>
      <c r="D29" s="27" t="s">
        <v>23</v>
      </c>
      <c r="E29" s="28">
        <v>50</v>
      </c>
      <c r="F29" s="29">
        <v>46209</v>
      </c>
    </row>
    <row r="30" spans="2:6" x14ac:dyDescent="0.35">
      <c r="B30" s="27" t="s">
        <v>6</v>
      </c>
      <c r="C30" s="27" t="s">
        <v>17</v>
      </c>
      <c r="D30" s="27" t="s">
        <v>18</v>
      </c>
      <c r="E30" s="28">
        <v>20</v>
      </c>
      <c r="F30" s="29">
        <v>46209</v>
      </c>
    </row>
    <row r="31" spans="2:6" x14ac:dyDescent="0.35">
      <c r="B31" s="27" t="s">
        <v>24</v>
      </c>
      <c r="C31" s="27" t="s">
        <v>17</v>
      </c>
      <c r="D31" s="27" t="s">
        <v>5</v>
      </c>
      <c r="E31" s="28">
        <v>150</v>
      </c>
      <c r="F31" s="29">
        <v>46209</v>
      </c>
    </row>
    <row r="32" spans="2:6" x14ac:dyDescent="0.35">
      <c r="B32" s="27" t="s">
        <v>4</v>
      </c>
      <c r="C32" s="27" t="s">
        <v>17</v>
      </c>
      <c r="D32" s="27" t="s">
        <v>23</v>
      </c>
      <c r="E32" s="28">
        <v>40</v>
      </c>
      <c r="F32" s="29">
        <v>46207</v>
      </c>
    </row>
    <row r="33" spans="2:6" x14ac:dyDescent="0.35">
      <c r="B33" s="27" t="s">
        <v>3</v>
      </c>
      <c r="C33" s="27" t="s">
        <v>17</v>
      </c>
      <c r="D33" s="27" t="s">
        <v>9</v>
      </c>
      <c r="E33" s="28">
        <v>1500</v>
      </c>
      <c r="F33" s="29">
        <v>46207</v>
      </c>
    </row>
    <row r="34" spans="2:6" x14ac:dyDescent="0.35">
      <c r="B34" s="27" t="s">
        <v>2</v>
      </c>
      <c r="C34" s="27" t="s">
        <v>17</v>
      </c>
      <c r="D34" s="27" t="s">
        <v>22</v>
      </c>
      <c r="E34" s="28">
        <v>35</v>
      </c>
      <c r="F34" s="29">
        <v>46206</v>
      </c>
    </row>
    <row r="35" spans="2:6" x14ac:dyDescent="0.35">
      <c r="B35" s="27" t="s">
        <v>20</v>
      </c>
      <c r="C35" s="27" t="s">
        <v>17</v>
      </c>
      <c r="D35" s="27" t="s">
        <v>21</v>
      </c>
      <c r="E35" s="28">
        <v>1800</v>
      </c>
      <c r="F35" s="29">
        <v>46205</v>
      </c>
    </row>
    <row r="82" spans="11:11" x14ac:dyDescent="0.35">
      <c r="K82" s="26"/>
    </row>
    <row r="83" spans="11:11" x14ac:dyDescent="0.35">
      <c r="K83" s="26"/>
    </row>
    <row r="84" spans="11:11" x14ac:dyDescent="0.35">
      <c r="K84" s="26"/>
    </row>
  </sheetData>
  <sheetProtection password="D204" sheet="1" insertRows="0"/>
  <mergeCells count="1">
    <mergeCell ref="A1:F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workbookViewId="0">
      <selection activeCell="B13" sqref="B13"/>
    </sheetView>
  </sheetViews>
  <sheetFormatPr defaultRowHeight="14.5" x14ac:dyDescent="0.35"/>
  <cols>
    <col min="1" max="1" width="22.1796875" customWidth="1"/>
    <col min="2" max="2" width="13.90625" customWidth="1"/>
    <col min="5" max="5" width="18.26953125" customWidth="1"/>
    <col min="6" max="6" width="13.90625" customWidth="1"/>
    <col min="9" max="9" width="22.1796875" customWidth="1"/>
    <col min="10" max="10" width="13.90625" customWidth="1"/>
  </cols>
  <sheetData>
    <row r="1" spans="1:10" ht="17.5" x14ac:dyDescent="0.35">
      <c r="A1" s="31" t="s">
        <v>15</v>
      </c>
      <c r="B1" s="31"/>
      <c r="E1" s="31" t="s">
        <v>32</v>
      </c>
      <c r="F1" s="31"/>
      <c r="I1" s="31" t="s">
        <v>33</v>
      </c>
      <c r="J1" s="31"/>
    </row>
    <row r="2" spans="1:10" x14ac:dyDescent="0.35">
      <c r="A2" s="32" t="str">
        <f>"Highest category:"&amp;INDEX(A4:A14,MATCH(MAX(B4:B14),B4:B14,0)) &amp; " " &amp; TEXT(MAX(B4:B14),"###,###")</f>
        <v>Highest category:Ziidi 3,400</v>
      </c>
      <c r="B2" s="32"/>
      <c r="E2" s="32" t="str">
        <f>"Payment Mode:"&amp;INDEX(E4:E5,MATCH(MAX(F4:F5),F4:F5,0)) &amp; " " &amp; TEXT(MAX(F4:F5),"###,###")</f>
        <v>Payment Mode:Mpesa 8,967</v>
      </c>
      <c r="F2" s="32"/>
      <c r="I2" s="33"/>
      <c r="J2" s="33"/>
    </row>
    <row r="3" spans="1:10" x14ac:dyDescent="0.35">
      <c r="A3" s="17" t="s">
        <v>14</v>
      </c>
      <c r="B3" t="s">
        <v>30</v>
      </c>
      <c r="E3" s="17" t="s">
        <v>16</v>
      </c>
      <c r="F3" t="s">
        <v>30</v>
      </c>
      <c r="I3" s="17" t="s">
        <v>14</v>
      </c>
      <c r="J3" t="s">
        <v>30</v>
      </c>
    </row>
    <row r="4" spans="1:10" x14ac:dyDescent="0.35">
      <c r="A4" s="18" t="s">
        <v>2</v>
      </c>
      <c r="B4" s="13">
        <v>187</v>
      </c>
      <c r="E4" s="18" t="s">
        <v>17</v>
      </c>
      <c r="F4" s="13">
        <v>8967</v>
      </c>
      <c r="I4" s="19">
        <v>46205</v>
      </c>
      <c r="J4" s="13">
        <v>3400</v>
      </c>
    </row>
    <row r="5" spans="1:10" x14ac:dyDescent="0.35">
      <c r="A5" s="18" t="s">
        <v>10</v>
      </c>
      <c r="B5" s="13">
        <v>90</v>
      </c>
      <c r="E5" s="18" t="s">
        <v>31</v>
      </c>
      <c r="F5" s="13">
        <v>8967</v>
      </c>
      <c r="I5" s="19">
        <v>46206</v>
      </c>
      <c r="J5" s="13">
        <v>35</v>
      </c>
    </row>
    <row r="6" spans="1:10" x14ac:dyDescent="0.35">
      <c r="A6" s="18" t="s">
        <v>4</v>
      </c>
      <c r="B6" s="13">
        <v>570</v>
      </c>
      <c r="I6" s="19">
        <v>46207</v>
      </c>
      <c r="J6" s="13">
        <v>1540</v>
      </c>
    </row>
    <row r="7" spans="1:10" x14ac:dyDescent="0.35">
      <c r="A7" s="18" t="s">
        <v>11</v>
      </c>
      <c r="B7" s="13">
        <v>370</v>
      </c>
      <c r="I7" s="19">
        <v>46209</v>
      </c>
      <c r="J7" s="13">
        <v>243</v>
      </c>
    </row>
    <row r="8" spans="1:10" x14ac:dyDescent="0.35">
      <c r="A8" s="18" t="s">
        <v>8</v>
      </c>
      <c r="B8" s="13">
        <v>150</v>
      </c>
      <c r="I8" s="19">
        <v>46210</v>
      </c>
      <c r="J8" s="13">
        <v>130</v>
      </c>
    </row>
    <row r="9" spans="1:10" x14ac:dyDescent="0.35">
      <c r="A9" s="18" t="s">
        <v>25</v>
      </c>
      <c r="B9" s="13">
        <v>80</v>
      </c>
      <c r="I9" s="19">
        <v>46211</v>
      </c>
      <c r="J9" s="13">
        <v>546</v>
      </c>
    </row>
    <row r="10" spans="1:10" x14ac:dyDescent="0.35">
      <c r="A10" s="18" t="s">
        <v>9</v>
      </c>
      <c r="B10" s="13">
        <v>60</v>
      </c>
      <c r="I10" s="19">
        <v>46213</v>
      </c>
      <c r="J10" s="13">
        <v>90</v>
      </c>
    </row>
    <row r="11" spans="1:10" x14ac:dyDescent="0.35">
      <c r="A11" s="18" t="s">
        <v>3</v>
      </c>
      <c r="B11" s="13">
        <v>1500</v>
      </c>
      <c r="I11" s="19">
        <v>46214</v>
      </c>
      <c r="J11" s="13">
        <v>190</v>
      </c>
    </row>
    <row r="12" spans="1:10" x14ac:dyDescent="0.35">
      <c r="A12" s="18" t="s">
        <v>6</v>
      </c>
      <c r="B12" s="13">
        <v>100</v>
      </c>
      <c r="I12" s="19">
        <v>46215</v>
      </c>
      <c r="J12" s="13">
        <v>2630</v>
      </c>
    </row>
    <row r="13" spans="1:10" x14ac:dyDescent="0.35">
      <c r="A13" s="18" t="s">
        <v>24</v>
      </c>
      <c r="B13" s="13">
        <v>2460</v>
      </c>
      <c r="I13" s="19">
        <v>46216</v>
      </c>
      <c r="J13" s="13">
        <v>60</v>
      </c>
    </row>
    <row r="14" spans="1:10" x14ac:dyDescent="0.35">
      <c r="A14" s="18" t="s">
        <v>20</v>
      </c>
      <c r="B14" s="13">
        <v>3400</v>
      </c>
      <c r="I14" s="19">
        <v>46218</v>
      </c>
      <c r="J14" s="13">
        <v>103</v>
      </c>
    </row>
    <row r="15" spans="1:10" x14ac:dyDescent="0.35">
      <c r="A15" s="18" t="s">
        <v>31</v>
      </c>
      <c r="B15" s="13">
        <v>8967</v>
      </c>
      <c r="I15" s="19" t="s">
        <v>31</v>
      </c>
      <c r="J15" s="13">
        <v>8967</v>
      </c>
    </row>
  </sheetData>
  <sheetProtection password="D204" sheet="1" objects="1" scenarios="1"/>
  <mergeCells count="6">
    <mergeCell ref="A1:B1"/>
    <mergeCell ref="A2:B2"/>
    <mergeCell ref="E1:F1"/>
    <mergeCell ref="E2:F2"/>
    <mergeCell ref="I1:J1"/>
    <mergeCell ref="I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942197-62DF-4278-AF29-B9D0DA850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Spendings</vt:lpstr>
      <vt:lpstr>Pivot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2026-07-14T07:24:47Z</cp:lastPrinted>
  <dcterms:created xsi:type="dcterms:W3CDTF">2026-07-12T08:53:21Z</dcterms:created>
  <dcterms:modified xsi:type="dcterms:W3CDTF">2026-07-15T10:17:25Z</dcterms:modified>
</cp:coreProperties>
</file>